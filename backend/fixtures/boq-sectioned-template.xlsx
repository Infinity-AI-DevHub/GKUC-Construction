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.lk\Downloads\"/>
    </mc:Choice>
  </mc:AlternateContent>
  <xr:revisionPtr revIDLastSave="0" documentId="13_ncr:1_{DD7264A0-4FAB-45A5-AAB6-900E93C03B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Q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" i="1" l="1"/>
  <c r="C88" i="1"/>
  <c r="C87" i="1"/>
  <c r="C86" i="1"/>
  <c r="C90" i="1"/>
  <c r="C92" i="1" s="1"/>
  <c r="C94" i="1" s="1"/>
  <c r="C95" i="1" s="1"/>
  <c r="F78" i="1"/>
  <c r="F77" i="1"/>
  <c r="F76" i="1"/>
  <c r="F75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79" i="1" s="1"/>
  <c r="F60" i="1"/>
  <c r="F57" i="1"/>
  <c r="F56" i="1"/>
  <c r="F55" i="1"/>
  <c r="F54" i="1"/>
  <c r="F53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58" i="1" s="1"/>
  <c r="F34" i="1"/>
  <c r="F33" i="1"/>
  <c r="F3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35" i="1" s="1"/>
  <c r="F15" i="1"/>
  <c r="F14" i="1"/>
  <c r="F13" i="1"/>
  <c r="F12" i="1"/>
  <c r="F11" i="1"/>
  <c r="F10" i="1"/>
</calcChain>
</file>

<file path=xl/sharedStrings.xml><?xml version="1.0" encoding="utf-8"?>
<sst xmlns="http://schemas.openxmlformats.org/spreadsheetml/2006/main" count="357" uniqueCount="184">
  <si>
    <t>GKUC Construction — Bill of Quantities</t>
  </si>
  <si>
    <t>Fill in the two boxes below, then list the work from row 9 downwards. Do not delete or reorder the columns.</t>
  </si>
  <si>
    <t>BOQ title</t>
  </si>
  <si>
    <t>Improvement of Nelundeniya Ihalagama Road from CH (1+500-2+250) — Bill of Quantities</t>
  </si>
  <si>
    <t>Client</t>
  </si>
  <si>
    <t>Executive Engineering Office-Kegalle</t>
  </si>
  <si>
    <t>Every row needs Description, Unit, Quantity and Rate. Category is optional. Leave Amount blank — it is worked out for you.</t>
  </si>
  <si>
    <t>Category</t>
  </si>
  <si>
    <t>Description of work</t>
  </si>
  <si>
    <t>Unit</t>
  </si>
  <si>
    <t>Quantity</t>
  </si>
  <si>
    <t>Rate (LKR)</t>
  </si>
  <si>
    <t>Amount (LKR)</t>
  </si>
  <si>
    <t>Method statement</t>
  </si>
  <si>
    <t>Notes</t>
  </si>
  <si>
    <t>Material</t>
  </si>
  <si>
    <t/>
  </si>
  <si>
    <t>How to fill this in</t>
  </si>
  <si>
    <t>Column</t>
  </si>
  <si>
    <t>Needed?</t>
  </si>
  <si>
    <t>What to put in it</t>
  </si>
  <si>
    <t>Optional</t>
  </si>
  <si>
    <t>Optional. If filled, use a saved BOQ category.</t>
  </si>
  <si>
    <t>Required</t>
  </si>
  <si>
    <t>What the item is. This appears on quotations and invoices.</t>
  </si>
  <si>
    <t>e.g. m3, m2, kg, nos, item</t>
  </si>
  <si>
    <t>Numbers only</t>
  </si>
  <si>
    <t>Price for one unit</t>
  </si>
  <si>
    <t>Leave blank — the system multiplies quantity by rate</t>
  </si>
  <si>
    <t>How the work is carried out. Optional.</t>
  </si>
  <si>
    <t>Anything else. Optional.</t>
  </si>
  <si>
    <t>If you use a category, spell it exactly as shown:</t>
  </si>
  <si>
    <t>Labour</t>
  </si>
  <si>
    <t>Equipment</t>
  </si>
  <si>
    <t>Subcontract</t>
  </si>
  <si>
    <t>Overhead</t>
  </si>
  <si>
    <t>Prelimineries</t>
  </si>
  <si>
    <t>Manel Mawatha</t>
  </si>
  <si>
    <t>Asphalt road works</t>
  </si>
  <si>
    <t>Concrete works</t>
  </si>
  <si>
    <t>paving wroks</t>
  </si>
  <si>
    <t>Wela Road</t>
  </si>
  <si>
    <t>When you upload this file the system shows you everything it read, marks anything it could not understand, and lets you correct it on screen before anything is saved.</t>
  </si>
  <si>
    <t>A</t>
  </si>
  <si>
    <t>General Item/Preliminaries</t>
  </si>
  <si>
    <t>A-01</t>
  </si>
  <si>
    <t>Provision of performance bond</t>
  </si>
  <si>
    <t>PS</t>
  </si>
  <si>
    <t>A-02</t>
  </si>
  <si>
    <t>Provision of Insurance policies</t>
  </si>
  <si>
    <t>A-03</t>
  </si>
  <si>
    <t>Maintaining safety arrangements with barricading</t>
  </si>
  <si>
    <t>Item</t>
  </si>
  <si>
    <t>A-04</t>
  </si>
  <si>
    <t>Maintaining a tempary shed for site office construction period</t>
  </si>
  <si>
    <t>A-05</t>
  </si>
  <si>
    <t>Transport of 2 tonne roller &amp; concrete mixer to site &amp; back</t>
  </si>
  <si>
    <t>Tipper Days</t>
  </si>
  <si>
    <t>Sub total carried to summary</t>
  </si>
  <si>
    <t>B</t>
  </si>
  <si>
    <t>Maintainance of road surface from CH (1+500 - 2+500)km</t>
  </si>
  <si>
    <t>B-1</t>
  </si>
  <si>
    <t>Clearing site as directed by Engineer.</t>
  </si>
  <si>
    <t>B-2</t>
  </si>
  <si>
    <t>Clearing pot hole surface.</t>
  </si>
  <si>
    <t>Day</t>
  </si>
  <si>
    <t>B-3</t>
  </si>
  <si>
    <t>Roadway excavation in unclassified soil using machinery excluding loading &amp; piling (cutting measurement)</t>
  </si>
  <si>
    <t>CU.M</t>
  </si>
  <si>
    <t>B-4</t>
  </si>
  <si>
    <t>Reducing high sides in ordinary soil</t>
  </si>
  <si>
    <t>B-5</t>
  </si>
  <si>
    <t>Loading material by machinery in roadway excavations (cutting measurement)</t>
  </si>
  <si>
    <t>B-6</t>
  </si>
  <si>
    <t>Excavation debris &amp; soil transport of 1 cube tipper</t>
  </si>
  <si>
    <t>B-7</t>
  </si>
  <si>
    <t>Dense graded aggregate base (Aggregate base course) Supplying, Pilling, spreading, watering &amp; compacting graded 37.5 mm aggregate to form a dense aggregate base in strips average with not exceeding 1.2 m for road widening including 03 km transport of aggregates (Loose volume)</t>
  </si>
  <si>
    <t>B-8</t>
  </si>
  <si>
    <t>Mixing &amp; laying using concrete mixer (volume batching) cement concrete for Grade 25 (19 mm) using crusher run aggregate in foundation &amp; floors (including curing surface to keep in wet condition continuously as directed)</t>
  </si>
  <si>
    <t>B-9</t>
  </si>
  <si>
    <t>Supplying, fixing 25 mm planks of class II timber for road concreating as side shuttering, including removing</t>
  </si>
  <si>
    <t>SQ.M</t>
  </si>
  <si>
    <t>B-10</t>
  </si>
  <si>
    <t>Laying 300 guage polythine sheet on prepared sub-base prior to road concreting</t>
  </si>
  <si>
    <t>B-11</t>
  </si>
  <si>
    <t>Making of expantion construction joints</t>
  </si>
  <si>
    <t>B-12</t>
  </si>
  <si>
    <t>Supply, fabricate &amp; lay tor steel as reinforcement</t>
  </si>
  <si>
    <t>kg</t>
  </si>
  <si>
    <t>B-13</t>
  </si>
  <si>
    <t>Approved soil (Type I &amp; II material) excavation using machinery for base &amp; shoulder construction including loading &amp; piling (Loose Volume)</t>
  </si>
  <si>
    <t>B-14</t>
  </si>
  <si>
    <t>Approved soil spreading, leveling &amp; compacting manually using standard cast iron stamper or equivalent &amp; filling in 150- 225 mm thick layers (Loose volume)</t>
  </si>
  <si>
    <t>Additional Transport of Material</t>
  </si>
  <si>
    <t>B-15</t>
  </si>
  <si>
    <t>Approved soil</t>
  </si>
  <si>
    <t>B-16</t>
  </si>
  <si>
    <t>ABC</t>
  </si>
  <si>
    <t>B-17</t>
  </si>
  <si>
    <t>19mm aggregate</t>
  </si>
  <si>
    <t>C</t>
  </si>
  <si>
    <t>Construction of Retaining wall at CH(1+900)km R.H.S &amp; L.H.S</t>
  </si>
  <si>
    <t>C-1</t>
  </si>
  <si>
    <t>Excavation pit / trench manually for foundation in mud/marshy material not exceeding 1.5m deep, including leveling &amp; ramming bottom, excavated material deposited at site within 25 m or as directed (shoring, de-watering if necessary shall be paid separately)</t>
  </si>
  <si>
    <t>C-2</t>
  </si>
  <si>
    <t>Mixing &amp; laying using concrete mixer, cement 1:3:6 (37.5 mm) (volume batching) using crusher run aggregate (including curing surface to keep in wet condition continuously as directed)</t>
  </si>
  <si>
    <t>C-3</t>
  </si>
  <si>
    <t>Supplying &amp; fixing 25 mm thick planks &amp; struts of class II timber as form work rough finish, in foundation etc. including removing</t>
  </si>
  <si>
    <t>C-4</t>
  </si>
  <si>
    <t>Mixing &amp; laying using concrete mixer, cement concrete 1:3:6 (37.5 mm) with 20% of plums (volume batching) using crusher run aggregate (including curing surface to keep in wet condition continuously as directed)</t>
  </si>
  <si>
    <t>C-5</t>
  </si>
  <si>
    <t>Form - work smooth finish for general purposes using 25 mm thick planks &amp; struts of class II timber &amp; round jungle timber props 100- 150 mm dia. Including dismantling</t>
  </si>
  <si>
    <t>C-6</t>
  </si>
  <si>
    <t>Forming weep holes using P.V.C. pipes of internal diameter not less than 100 mm complete with drip ledge &amp; surround finish smooth</t>
  </si>
  <si>
    <t>L.M</t>
  </si>
  <si>
    <t>C-7</t>
  </si>
  <si>
    <t>Supply &amp; pile 100mm aggregate including transport up to 3 km</t>
  </si>
  <si>
    <t>C-8</t>
  </si>
  <si>
    <t>Packing available rubble aggregate filter layers behind masonry walls</t>
  </si>
  <si>
    <t>C-9</t>
  </si>
  <si>
    <t>Approved soil (type I &amp; II material) excavation using Machinery for Embankment filling including loading &amp; piling (Loose volume)</t>
  </si>
  <si>
    <t>C-10</t>
  </si>
  <si>
    <t>Approved soil spread &amp; compacted in places behind abutment &amp; structures, shoulders above sub-base level &amp; in service line trench, using 1/2 to 1 ton vibrating roller watering (Loose volume)</t>
  </si>
  <si>
    <t>C-11</t>
  </si>
  <si>
    <t>Casting STD. type guard stone in concrete [1:2:4 (19 mm) &amp; cement 282.5 kg/cum] including curing</t>
  </si>
  <si>
    <t>No.</t>
  </si>
  <si>
    <t>C-12</t>
  </si>
  <si>
    <t>Dewatering using 50mm submersible water pump.</t>
  </si>
  <si>
    <t>Days</t>
  </si>
  <si>
    <t>C-13</t>
  </si>
  <si>
    <t>Suppling &amp; fixing MS dowels ,spliced dove tailed with wedge at one end ,16mm dia &amp; 1m long ,boring holes to 0.3m depth in fixing</t>
  </si>
  <si>
    <t>No</t>
  </si>
  <si>
    <t>C-14</t>
  </si>
  <si>
    <t>Supplying &amp; fixing class II timber struts etc. for shoring up to 3m depth (Rate per area basis)</t>
  </si>
  <si>
    <t>Sqm</t>
  </si>
  <si>
    <t>C-15</t>
  </si>
  <si>
    <t>Mixing &amp; laying using concrete mixer, cement concrete 1:2:4 (19 mm) (volume batching) using crusher run aggregate (including curing surface to keep in wet condition continuously as directed)</t>
  </si>
  <si>
    <t>C-16</t>
  </si>
  <si>
    <t>37.5mm aggregate</t>
  </si>
  <si>
    <t>C-17</t>
  </si>
  <si>
    <t>150*225mm aggregate</t>
  </si>
  <si>
    <t>C-18</t>
  </si>
  <si>
    <t>100mm aggregate</t>
  </si>
  <si>
    <t>C-19</t>
  </si>
  <si>
    <t>Transport of approved soil</t>
  </si>
  <si>
    <t>C-20</t>
  </si>
  <si>
    <t>D</t>
  </si>
  <si>
    <t>Construction of Retaining wall at CH (2+100)km</t>
  </si>
  <si>
    <t>D-1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</si>
  <si>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</si>
  <si>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</si>
  <si>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</si>
  <si>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</si>
  <si>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</si>
  <si>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</si>
  <si>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</si>
  <si>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</si>
  <si>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</si>
  <si>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</si>
  <si>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</si>
  <si>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</si>
  <si>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</si>
  <si>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D-15</t>
  </si>
  <si>
    <t>D-16</t>
  </si>
  <si>
    <t>150x225mm aggregate</t>
  </si>
  <si>
    <t>D-17</t>
  </si>
  <si>
    <t>D-18</t>
  </si>
  <si>
    <t>Bidding B.O.Q for the Improvement of Nelundeniya Ihalagama Road</t>
  </si>
  <si>
    <t>from CH(1+500 - 2+250)km - SUMMARY</t>
  </si>
  <si>
    <t>Item No.</t>
  </si>
  <si>
    <t>Description of Work</t>
  </si>
  <si>
    <t>1</t>
  </si>
  <si>
    <t>Sub Total - 1</t>
  </si>
  <si>
    <t>2</t>
  </si>
  <si>
    <t>Total amount of Provisional Items</t>
  </si>
  <si>
    <t>3</t>
  </si>
  <si>
    <t>(1-2) - Sub Total - 2</t>
  </si>
  <si>
    <t>4</t>
  </si>
  <si>
    <t>Discount / Addition if any .....................%</t>
  </si>
  <si>
    <t>-</t>
  </si>
  <si>
    <t>5</t>
  </si>
  <si>
    <t>(3±4) - Sub Total - 3</t>
  </si>
  <si>
    <t>6</t>
  </si>
  <si>
    <t>(2+5) - Grand total (BID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</si>
</sst>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1"/>
      <color rgb="FF1F4E79"/>
      <name val="Calibri"/>
    </font>
    <font>
      <sz val="10"/>
      <name val="Calibri"/>
    </font>
    <font>
      <b/>
      <sz val="10"/>
      <name val="Calibri"/>
    </font>
    <font>
      <b/>
      <sz val="14"/>
      <color rgb="FF1F4E79"/>
      <name val="Calibri"/>
    </font>
    <font>
      <b/>
      <sz val="11"/>
      <color rgb="FF595959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211C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1F4E79"/>
        <bgColor rgb="FF1F4E79"/>
      </patternFill>
    </fill>
  </fills>
  <borders count="5">
    <border>
      <left/>
      <right/>
      <top/>
      <bottom/>
      <diagonal/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0" fillId="3" borderId="0" xfId="0" applyFill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4" fontId="4" fillId="0" borderId="2" xfId="0" applyNumberFormat="1" applyFont="1" applyBorder="1" applyAlignment="1">
      <alignment horizontal="right" vertical="center"/>
    </xf>
    <xf numFmtId="0" fontId="0" fillId="4" borderId="3" xfId="0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4" fontId="0" fillId="4" borderId="3" xfId="0" applyNumberFormat="1" applyFill="1" applyBorder="1" applyAlignment="1">
      <alignment horizontal="right" vertical="center"/>
    </xf>
    <xf numFmtId="4" fontId="5" fillId="4" borderId="3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4" fontId="3" fillId="3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zoomScale="70" zoomScaleNormal="112" workbookViewId="0">
      <pane ySplit="9" topLeftCell="A92" activePane="bottomLeft" state="frozen"/>
      <selection pane="bottomLeft" activeCell="C90" sqref="C90"/>
    </sheetView>
  </sheetViews>
  <sheetFormatPr defaultRowHeight="15" x14ac:dyDescent="0.25"/>
  <cols>
    <col min="1" max="1" width="15" customWidth="1"/>
    <col min="2" max="2" width="48" customWidth="1"/>
    <col min="3" max="3" width="18.140625" customWidth="1"/>
    <col min="4" max="4" width="12" customWidth="1"/>
    <col min="5" max="5" width="14" customWidth="1"/>
    <col min="6" max="6" width="16" customWidth="1"/>
    <col min="7" max="7" width="40" customWidth="1"/>
    <col min="8" max="8" width="28" customWidth="1"/>
  </cols>
  <sheetData>
    <row r="1" spans="1:8" x14ac:dyDescent="0.25">
      <c r="A1" t="s">
        <v>0</v>
      </c>
    </row>
    <row r="2" spans="1:8" ht="102" x14ac:dyDescent="0.25">
      <c r="A2" s="3" t="s">
        <v>1</v>
      </c>
    </row>
    <row r="4" spans="1:8" ht="30" x14ac:dyDescent="0.25">
      <c r="A4" s="2" t="s">
        <v>2</v>
      </c>
      <c r="B4" s="2" t="s">
        <v>3</v>
      </c>
    </row>
    <row r="5" spans="1:8" x14ac:dyDescent="0.25">
      <c r="A5" s="2" t="s">
        <v>4</v>
      </c>
      <c r="B5" s="2" t="s">
        <v>5</v>
      </c>
    </row>
    <row r="7" spans="1:8" ht="102" x14ac:dyDescent="0.25">
      <c r="A7" s="3" t="s">
        <v>6</v>
      </c>
    </row>
    <row r="8" spans="1:8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</row>
    <row r="9" spans="1:8" x14ac:dyDescent="0.25">
      <c r="A9" s="4" t="s">
        <v>43</v>
      </c>
      <c r="B9" s="5" t="s">
        <v>44</v>
      </c>
      <c r="C9" s="6"/>
      <c r="D9" s="6"/>
      <c r="E9" s="6"/>
      <c r="F9" s="6"/>
      <c r="G9" s="2"/>
      <c r="H9" s="2"/>
    </row>
    <row r="10" spans="1:8" x14ac:dyDescent="0.25">
      <c r="A10" s="7" t="s">
        <v>45</v>
      </c>
      <c r="B10" s="8" t="s">
        <v>46</v>
      </c>
      <c r="C10" s="7" t="s">
        <v>47</v>
      </c>
      <c r="D10" s="9">
        <v>1</v>
      </c>
      <c r="E10" s="9">
        <v>30000</v>
      </c>
      <c r="F10" s="9">
        <f>D10*E10</f>
        <v>30000</v>
      </c>
      <c r="G10" s="2" t="s">
        <v>16</v>
      </c>
      <c r="H10" s="2" t="s">
        <v>16</v>
      </c>
    </row>
    <row r="11" spans="1:8" x14ac:dyDescent="0.25">
      <c r="A11" s="7" t="s">
        <v>48</v>
      </c>
      <c r="B11" s="8" t="s">
        <v>49</v>
      </c>
      <c r="C11" s="7" t="s">
        <v>47</v>
      </c>
      <c r="D11" s="9">
        <v>1</v>
      </c>
      <c r="E11" s="9">
        <v>30000</v>
      </c>
      <c r="F11" s="9">
        <f>D11*E11</f>
        <v>30000</v>
      </c>
      <c r="G11" s="2" t="s">
        <v>16</v>
      </c>
      <c r="H11" s="2" t="s">
        <v>16</v>
      </c>
    </row>
    <row r="12" spans="1:8" x14ac:dyDescent="0.25">
      <c r="A12" s="7" t="s">
        <v>50</v>
      </c>
      <c r="B12" s="8" t="s">
        <v>51</v>
      </c>
      <c r="C12" s="7" t="s">
        <v>52</v>
      </c>
      <c r="D12" s="9">
        <v>1</v>
      </c>
      <c r="E12" s="9">
        <v>7500</v>
      </c>
      <c r="F12" s="9">
        <f>D12*E12</f>
        <v>7500</v>
      </c>
      <c r="G12" s="2" t="s">
        <v>16</v>
      </c>
      <c r="H12" s="2" t="s">
        <v>16</v>
      </c>
    </row>
    <row r="13" spans="1:8" ht="25.5" x14ac:dyDescent="0.25">
      <c r="A13" s="7" t="s">
        <v>53</v>
      </c>
      <c r="B13" s="8" t="s">
        <v>54</v>
      </c>
      <c r="C13" s="7" t="s">
        <v>52</v>
      </c>
      <c r="D13" s="9">
        <v>1</v>
      </c>
      <c r="E13" s="9">
        <v>5000</v>
      </c>
      <c r="F13" s="9">
        <f>D13*E13</f>
        <v>5000</v>
      </c>
      <c r="G13" s="2" t="s">
        <v>16</v>
      </c>
      <c r="H13" s="2" t="s">
        <v>16</v>
      </c>
    </row>
    <row r="14" spans="1:8" ht="25.5" x14ac:dyDescent="0.25">
      <c r="A14" s="7" t="s">
        <v>55</v>
      </c>
      <c r="B14" s="8" t="s">
        <v>56</v>
      </c>
      <c r="C14" s="7" t="s">
        <v>57</v>
      </c>
      <c r="D14" s="9">
        <v>1</v>
      </c>
      <c r="E14" s="9">
        <v>5000</v>
      </c>
      <c r="F14" s="9">
        <f>D14*E14</f>
        <v>5000</v>
      </c>
      <c r="G14" s="2" t="s">
        <v>16</v>
      </c>
      <c r="H14" s="2" t="s">
        <v>16</v>
      </c>
    </row>
    <row r="15" spans="1:8" x14ac:dyDescent="0.25">
      <c r="A15" s="10"/>
      <c r="B15" s="11" t="s">
        <v>58</v>
      </c>
      <c r="C15" s="10"/>
      <c r="D15" s="12"/>
      <c r="E15" s="12"/>
      <c r="F15" s="13">
        <f>SUM(F10:F14)</f>
        <v>77500</v>
      </c>
      <c r="G15" s="2" t="s">
        <v>16</v>
      </c>
      <c r="H15" s="2" t="s">
        <v>16</v>
      </c>
    </row>
    <row r="16" spans="1:8" x14ac:dyDescent="0.25">
      <c r="A16" s="4" t="s">
        <v>59</v>
      </c>
      <c r="B16" s="5" t="s">
        <v>60</v>
      </c>
      <c r="C16" s="6"/>
      <c r="D16" s="6"/>
      <c r="E16" s="6"/>
      <c r="F16" s="6"/>
      <c r="G16" s="2" t="s">
        <v>16</v>
      </c>
      <c r="H16" s="2" t="s">
        <v>16</v>
      </c>
    </row>
    <row r="17" spans="1:8" x14ac:dyDescent="0.25">
      <c r="A17" s="7" t="s">
        <v>61</v>
      </c>
      <c r="B17" s="8" t="s">
        <v>62</v>
      </c>
      <c r="C17" s="7" t="s">
        <v>52</v>
      </c>
      <c r="D17" s="9">
        <v>1</v>
      </c>
      <c r="E17" s="9">
        <v>20000</v>
      </c>
      <c r="F17" s="9">
        <f t="shared" ref="F17:F30" si="0">D17*E17</f>
        <v>20000</v>
      </c>
      <c r="G17" s="2" t="s">
        <v>16</v>
      </c>
      <c r="H17" s="2" t="s">
        <v>16</v>
      </c>
    </row>
    <row r="18" spans="1:8" x14ac:dyDescent="0.25">
      <c r="A18" s="7" t="s">
        <v>63</v>
      </c>
      <c r="B18" s="8" t="s">
        <v>64</v>
      </c>
      <c r="C18" s="7" t="s">
        <v>65</v>
      </c>
      <c r="D18" s="9">
        <v>6</v>
      </c>
      <c r="E18" s="9">
        <v>4000</v>
      </c>
      <c r="F18" s="9">
        <f t="shared" si="0"/>
        <v>24000</v>
      </c>
      <c r="G18" s="2" t="s">
        <v>16</v>
      </c>
      <c r="H18" s="2" t="s">
        <v>16</v>
      </c>
    </row>
    <row r="19" spans="1:8" ht="25.5" x14ac:dyDescent="0.25">
      <c r="A19" s="7" t="s">
        <v>66</v>
      </c>
      <c r="B19" s="8" t="s">
        <v>67</v>
      </c>
      <c r="C19" s="7" t="s">
        <v>68</v>
      </c>
      <c r="D19" s="9">
        <v>112.64</v>
      </c>
      <c r="E19" s="9">
        <v>300</v>
      </c>
      <c r="F19" s="9">
        <f t="shared" si="0"/>
        <v>33792</v>
      </c>
      <c r="G19" s="2" t="s">
        <v>16</v>
      </c>
      <c r="H19" s="2" t="s">
        <v>16</v>
      </c>
    </row>
    <row r="20" spans="1:8" x14ac:dyDescent="0.25">
      <c r="A20" s="7" t="s">
        <v>69</v>
      </c>
      <c r="B20" s="8" t="s">
        <v>70</v>
      </c>
      <c r="C20" s="7" t="s">
        <v>68</v>
      </c>
      <c r="D20" s="9">
        <v>32.4</v>
      </c>
      <c r="E20" s="9">
        <v>900</v>
      </c>
      <c r="F20" s="9">
        <f t="shared" si="0"/>
        <v>29160</v>
      </c>
      <c r="G20" s="2" t="s">
        <v>16</v>
      </c>
      <c r="H20" s="2" t="s">
        <v>16</v>
      </c>
    </row>
    <row r="21" spans="1:8" ht="25.5" x14ac:dyDescent="0.25">
      <c r="A21" s="7" t="s">
        <v>71</v>
      </c>
      <c r="B21" s="8" t="s">
        <v>72</v>
      </c>
      <c r="C21" s="7" t="s">
        <v>68</v>
      </c>
      <c r="D21" s="9">
        <v>145.04</v>
      </c>
      <c r="E21" s="9">
        <v>180</v>
      </c>
      <c r="F21" s="9">
        <f t="shared" si="0"/>
        <v>26107.199999999997</v>
      </c>
      <c r="G21" s="2" t="s">
        <v>16</v>
      </c>
      <c r="H21" s="2" t="s">
        <v>16</v>
      </c>
    </row>
    <row r="22" spans="1:8" x14ac:dyDescent="0.25">
      <c r="A22" s="7" t="s">
        <v>73</v>
      </c>
      <c r="B22" s="8" t="s">
        <v>74</v>
      </c>
      <c r="C22" s="7" t="s">
        <v>65</v>
      </c>
      <c r="D22" s="9">
        <v>3</v>
      </c>
      <c r="E22" s="9">
        <v>10000</v>
      </c>
      <c r="F22" s="9">
        <f t="shared" si="0"/>
        <v>30000</v>
      </c>
      <c r="G22" s="2" t="s">
        <v>16</v>
      </c>
      <c r="H22" s="2" t="s">
        <v>16</v>
      </c>
    </row>
    <row r="23" spans="1:8" ht="76.5" x14ac:dyDescent="0.25">
      <c r="A23" s="7" t="s">
        <v>75</v>
      </c>
      <c r="B23" s="8" t="s">
        <v>76</v>
      </c>
      <c r="C23" s="7" t="s">
        <v>68</v>
      </c>
      <c r="D23" s="9">
        <v>159.13</v>
      </c>
      <c r="E23" s="9">
        <v>4800</v>
      </c>
      <c r="F23" s="9">
        <f t="shared" si="0"/>
        <v>763824</v>
      </c>
      <c r="G23" s="2" t="s">
        <v>16</v>
      </c>
      <c r="H23" s="2" t="s">
        <v>16</v>
      </c>
    </row>
    <row r="24" spans="1:8" ht="51" x14ac:dyDescent="0.25">
      <c r="A24" s="7" t="s">
        <v>77</v>
      </c>
      <c r="B24" s="8" t="s">
        <v>78</v>
      </c>
      <c r="C24" s="7" t="s">
        <v>68</v>
      </c>
      <c r="D24" s="9">
        <v>381.79</v>
      </c>
      <c r="E24" s="9">
        <v>27500</v>
      </c>
      <c r="F24" s="9">
        <f t="shared" si="0"/>
        <v>10499225</v>
      </c>
      <c r="G24" s="2" t="s">
        <v>16</v>
      </c>
      <c r="H24" s="2" t="s">
        <v>16</v>
      </c>
    </row>
    <row r="25" spans="1:8" ht="25.5" x14ac:dyDescent="0.25">
      <c r="A25" s="7" t="s">
        <v>79</v>
      </c>
      <c r="B25" s="8" t="s">
        <v>80</v>
      </c>
      <c r="C25" s="7" t="s">
        <v>81</v>
      </c>
      <c r="D25" s="9">
        <v>211.83</v>
      </c>
      <c r="E25" s="9">
        <v>900</v>
      </c>
      <c r="F25" s="9">
        <f t="shared" si="0"/>
        <v>190647</v>
      </c>
      <c r="G25" s="2" t="s">
        <v>16</v>
      </c>
      <c r="H25" s="2" t="s">
        <v>16</v>
      </c>
    </row>
    <row r="26" spans="1:8" ht="25.5" x14ac:dyDescent="0.25">
      <c r="A26" s="7" t="s">
        <v>82</v>
      </c>
      <c r="B26" s="8" t="s">
        <v>83</v>
      </c>
      <c r="C26" s="7" t="s">
        <v>81</v>
      </c>
      <c r="D26" s="9">
        <v>277.2</v>
      </c>
      <c r="E26" s="9">
        <v>40</v>
      </c>
      <c r="F26" s="9">
        <f t="shared" si="0"/>
        <v>11088</v>
      </c>
      <c r="G26" s="2" t="s">
        <v>16</v>
      </c>
      <c r="H26" s="2" t="s">
        <v>16</v>
      </c>
    </row>
    <row r="27" spans="1:8" x14ac:dyDescent="0.25">
      <c r="A27" s="7" t="s">
        <v>84</v>
      </c>
      <c r="B27" s="8" t="s">
        <v>85</v>
      </c>
      <c r="C27" s="7" t="s">
        <v>47</v>
      </c>
      <c r="D27" s="9">
        <v>1</v>
      </c>
      <c r="E27" s="9">
        <v>50000</v>
      </c>
      <c r="F27" s="9">
        <f t="shared" si="0"/>
        <v>50000</v>
      </c>
      <c r="G27" s="2"/>
      <c r="H27" s="2"/>
    </row>
    <row r="28" spans="1:8" x14ac:dyDescent="0.25">
      <c r="A28" s="7" t="s">
        <v>86</v>
      </c>
      <c r="B28" s="8" t="s">
        <v>87</v>
      </c>
      <c r="C28" s="7" t="s">
        <v>88</v>
      </c>
      <c r="D28" s="9">
        <v>310.45999999999998</v>
      </c>
      <c r="E28" s="9">
        <v>450</v>
      </c>
      <c r="F28" s="9">
        <f t="shared" si="0"/>
        <v>139707</v>
      </c>
      <c r="G28" s="2"/>
      <c r="H28" s="2"/>
    </row>
    <row r="29" spans="1:8" ht="38.25" x14ac:dyDescent="0.25">
      <c r="A29" s="7" t="s">
        <v>89</v>
      </c>
      <c r="B29" s="8" t="s">
        <v>90</v>
      </c>
      <c r="C29" s="7" t="s">
        <v>68</v>
      </c>
      <c r="D29" s="9">
        <v>158.71</v>
      </c>
      <c r="E29" s="9">
        <v>1300</v>
      </c>
      <c r="F29" s="9">
        <f t="shared" si="0"/>
        <v>206323</v>
      </c>
      <c r="G29" s="2"/>
      <c r="H29" s="2"/>
    </row>
    <row r="30" spans="1:8" ht="38.25" x14ac:dyDescent="0.25">
      <c r="A30" s="7" t="s">
        <v>91</v>
      </c>
      <c r="B30" s="8" t="s">
        <v>92</v>
      </c>
      <c r="C30" s="7" t="s">
        <v>68</v>
      </c>
      <c r="D30" s="9">
        <v>158.71</v>
      </c>
      <c r="E30" s="9">
        <v>900</v>
      </c>
      <c r="F30" s="9">
        <f t="shared" si="0"/>
        <v>142839</v>
      </c>
      <c r="G30" s="2"/>
      <c r="H30" s="2"/>
    </row>
    <row r="31" spans="1:8" x14ac:dyDescent="0.25">
      <c r="A31" s="14"/>
      <c r="B31" s="15" t="s">
        <v>93</v>
      </c>
      <c r="C31" s="16"/>
      <c r="D31" s="16"/>
      <c r="E31" s="16"/>
      <c r="F31" s="16"/>
      <c r="G31" s="2"/>
      <c r="H31" s="2"/>
    </row>
    <row r="32" spans="1:8" x14ac:dyDescent="0.25">
      <c r="A32" s="7" t="s">
        <v>94</v>
      </c>
      <c r="B32" s="8" t="s">
        <v>95</v>
      </c>
      <c r="C32" s="7" t="s">
        <v>68</v>
      </c>
      <c r="D32" s="9">
        <v>158.71</v>
      </c>
      <c r="E32" s="9">
        <v>450</v>
      </c>
      <c r="F32" s="9">
        <f>D32*E32</f>
        <v>71419.5</v>
      </c>
      <c r="G32" s="2"/>
      <c r="H32" s="2"/>
    </row>
    <row r="33" spans="1:8" x14ac:dyDescent="0.25">
      <c r="A33" s="7" t="s">
        <v>96</v>
      </c>
      <c r="B33" s="8" t="s">
        <v>97</v>
      </c>
      <c r="C33" s="7" t="s">
        <v>68</v>
      </c>
      <c r="D33" s="9">
        <v>159.13</v>
      </c>
      <c r="E33" s="9">
        <v>550</v>
      </c>
      <c r="F33" s="9">
        <f>D33*E33</f>
        <v>87521.5</v>
      </c>
      <c r="G33" s="2" t="s">
        <v>16</v>
      </c>
      <c r="H33" s="2" t="s">
        <v>16</v>
      </c>
    </row>
    <row r="34" spans="1:8" x14ac:dyDescent="0.25">
      <c r="A34" s="7" t="s">
        <v>98</v>
      </c>
      <c r="B34" s="8" t="s">
        <v>99</v>
      </c>
      <c r="C34" s="7" t="s">
        <v>68</v>
      </c>
      <c r="D34" s="9">
        <v>343.61</v>
      </c>
      <c r="E34" s="9">
        <v>500</v>
      </c>
      <c r="F34" s="9">
        <f>D34*E34</f>
        <v>171805</v>
      </c>
      <c r="G34" s="2" t="s">
        <v>16</v>
      </c>
      <c r="H34" s="2" t="s">
        <v>16</v>
      </c>
    </row>
    <row r="35" spans="1:8" x14ac:dyDescent="0.25">
      <c r="A35" s="10"/>
      <c r="B35" s="11" t="s">
        <v>58</v>
      </c>
      <c r="C35" s="10"/>
      <c r="D35" s="12"/>
      <c r="E35" s="12"/>
      <c r="F35" s="13">
        <f>SUM(F17:F30)+SUM(F32:F34)</f>
        <v>12497458.199999999</v>
      </c>
      <c r="G35" s="2" t="s">
        <v>16</v>
      </c>
      <c r="H35" s="2" t="s">
        <v>16</v>
      </c>
    </row>
    <row r="36" spans="1:8" x14ac:dyDescent="0.25">
      <c r="A36" s="4" t="s">
        <v>100</v>
      </c>
      <c r="B36" s="5" t="s">
        <v>101</v>
      </c>
      <c r="C36" s="6"/>
      <c r="D36" s="6"/>
      <c r="E36" s="6"/>
      <c r="F36" s="6"/>
      <c r="G36" s="2" t="s">
        <v>16</v>
      </c>
      <c r="H36" s="2" t="s">
        <v>16</v>
      </c>
    </row>
    <row r="37" spans="1:8" ht="63.75" x14ac:dyDescent="0.25">
      <c r="A37" s="7" t="s">
        <v>102</v>
      </c>
      <c r="B37" s="8" t="s">
        <v>103</v>
      </c>
      <c r="C37" s="7" t="s">
        <v>68</v>
      </c>
      <c r="D37" s="9">
        <v>29.7</v>
      </c>
      <c r="E37" s="9">
        <v>2100</v>
      </c>
      <c r="F37" s="9">
        <f t="shared" ref="F37:F51" si="1">D37*E37</f>
        <v>62370</v>
      </c>
      <c r="G37" s="2" t="s">
        <v>16</v>
      </c>
      <c r="H37" s="2" t="s">
        <v>16</v>
      </c>
    </row>
    <row r="38" spans="1:8" ht="51" x14ac:dyDescent="0.25">
      <c r="A38" s="7" t="s">
        <v>104</v>
      </c>
      <c r="B38" s="8" t="s">
        <v>105</v>
      </c>
      <c r="C38" s="7" t="s">
        <v>68</v>
      </c>
      <c r="D38" s="9">
        <v>11.88</v>
      </c>
      <c r="E38" s="9">
        <v>23700</v>
      </c>
      <c r="F38" s="9">
        <f t="shared" si="1"/>
        <v>281556</v>
      </c>
      <c r="G38" s="2" t="s">
        <v>16</v>
      </c>
      <c r="H38" s="2" t="s">
        <v>16</v>
      </c>
    </row>
    <row r="39" spans="1:8" ht="38.25" x14ac:dyDescent="0.25">
      <c r="A39" s="7" t="s">
        <v>106</v>
      </c>
      <c r="B39" s="8" t="s">
        <v>107</v>
      </c>
      <c r="C39" s="7" t="s">
        <v>81</v>
      </c>
      <c r="D39" s="9">
        <v>70.86</v>
      </c>
      <c r="E39" s="9">
        <v>1500</v>
      </c>
      <c r="F39" s="9">
        <f t="shared" si="1"/>
        <v>106290</v>
      </c>
      <c r="G39" s="2" t="s">
        <v>16</v>
      </c>
      <c r="H39" s="2" t="s">
        <v>16</v>
      </c>
    </row>
    <row r="40" spans="1:8" ht="51" x14ac:dyDescent="0.25">
      <c r="A40" s="7" t="s">
        <v>108</v>
      </c>
      <c r="B40" s="8" t="s">
        <v>109</v>
      </c>
      <c r="C40" s="7" t="s">
        <v>68</v>
      </c>
      <c r="D40" s="9">
        <v>38.619999999999997</v>
      </c>
      <c r="E40" s="9">
        <v>18000</v>
      </c>
      <c r="F40" s="9">
        <f t="shared" si="1"/>
        <v>695160</v>
      </c>
      <c r="G40" s="2" t="s">
        <v>16</v>
      </c>
      <c r="H40" s="2" t="s">
        <v>16</v>
      </c>
    </row>
    <row r="41" spans="1:8" ht="38.25" x14ac:dyDescent="0.25">
      <c r="A41" s="7" t="s">
        <v>110</v>
      </c>
      <c r="B41" s="8" t="s">
        <v>111</v>
      </c>
      <c r="C41" s="7" t="s">
        <v>81</v>
      </c>
      <c r="D41" s="9">
        <v>83.52</v>
      </c>
      <c r="E41" s="9">
        <v>2300</v>
      </c>
      <c r="F41" s="9">
        <f t="shared" si="1"/>
        <v>192096</v>
      </c>
      <c r="G41" s="2" t="s">
        <v>16</v>
      </c>
      <c r="H41" s="2" t="s">
        <v>16</v>
      </c>
    </row>
    <row r="42" spans="1:8" ht="38.25" x14ac:dyDescent="0.25">
      <c r="A42" s="7" t="s">
        <v>112</v>
      </c>
      <c r="B42" s="8" t="s">
        <v>113</v>
      </c>
      <c r="C42" s="7" t="s">
        <v>114</v>
      </c>
      <c r="D42" s="9">
        <v>22.2</v>
      </c>
      <c r="E42" s="9">
        <v>1500</v>
      </c>
      <c r="F42" s="9">
        <f t="shared" si="1"/>
        <v>33300</v>
      </c>
      <c r="G42" s="2" t="s">
        <v>16</v>
      </c>
      <c r="H42" s="2" t="s">
        <v>16</v>
      </c>
    </row>
    <row r="43" spans="1:8" ht="25.5" x14ac:dyDescent="0.25">
      <c r="A43" s="7" t="s">
        <v>115</v>
      </c>
      <c r="B43" s="8" t="s">
        <v>116</v>
      </c>
      <c r="C43" s="7" t="s">
        <v>68</v>
      </c>
      <c r="D43" s="9">
        <v>8.92</v>
      </c>
      <c r="E43" s="9">
        <v>4500</v>
      </c>
      <c r="F43" s="9">
        <f t="shared" si="1"/>
        <v>40140</v>
      </c>
      <c r="G43" s="2" t="s">
        <v>16</v>
      </c>
      <c r="H43" s="2" t="s">
        <v>16</v>
      </c>
    </row>
    <row r="44" spans="1:8" ht="25.5" x14ac:dyDescent="0.25">
      <c r="A44" s="7" t="s">
        <v>117</v>
      </c>
      <c r="B44" s="8" t="s">
        <v>118</v>
      </c>
      <c r="C44" s="7" t="s">
        <v>68</v>
      </c>
      <c r="D44" s="9">
        <v>8.92</v>
      </c>
      <c r="E44" s="9">
        <v>1300</v>
      </c>
      <c r="F44" s="9">
        <f t="shared" si="1"/>
        <v>11596</v>
      </c>
      <c r="G44" s="2" t="s">
        <v>16</v>
      </c>
      <c r="H44" s="2" t="s">
        <v>16</v>
      </c>
    </row>
    <row r="45" spans="1:8" ht="38.25" x14ac:dyDescent="0.25">
      <c r="A45" s="7" t="s">
        <v>119</v>
      </c>
      <c r="B45" s="8" t="s">
        <v>120</v>
      </c>
      <c r="C45" s="7" t="s">
        <v>68</v>
      </c>
      <c r="D45" s="9">
        <v>53.46</v>
      </c>
      <c r="E45" s="9">
        <v>1000</v>
      </c>
      <c r="F45" s="9">
        <f t="shared" si="1"/>
        <v>53460</v>
      </c>
      <c r="G45" s="2" t="s">
        <v>16</v>
      </c>
      <c r="H45" s="2" t="s">
        <v>16</v>
      </c>
    </row>
    <row r="46" spans="1:8" ht="51" x14ac:dyDescent="0.25">
      <c r="A46" s="7" t="s">
        <v>121</v>
      </c>
      <c r="B46" s="8" t="s">
        <v>122</v>
      </c>
      <c r="C46" s="7" t="s">
        <v>68</v>
      </c>
      <c r="D46" s="9">
        <v>53.46</v>
      </c>
      <c r="E46" s="9">
        <v>950</v>
      </c>
      <c r="F46" s="9">
        <f t="shared" si="1"/>
        <v>50787</v>
      </c>
      <c r="G46" s="2" t="s">
        <v>16</v>
      </c>
      <c r="H46" s="2" t="s">
        <v>16</v>
      </c>
    </row>
    <row r="47" spans="1:8" ht="25.5" x14ac:dyDescent="0.25">
      <c r="A47" s="7" t="s">
        <v>123</v>
      </c>
      <c r="B47" s="8" t="s">
        <v>124</v>
      </c>
      <c r="C47" s="7" t="s">
        <v>125</v>
      </c>
      <c r="D47" s="9">
        <v>37</v>
      </c>
      <c r="E47" s="9">
        <v>3500</v>
      </c>
      <c r="F47" s="9">
        <f t="shared" si="1"/>
        <v>129500</v>
      </c>
      <c r="G47" s="2" t="s">
        <v>16</v>
      </c>
      <c r="H47" s="2" t="s">
        <v>16</v>
      </c>
    </row>
    <row r="48" spans="1:8" x14ac:dyDescent="0.25">
      <c r="A48" s="7" t="s">
        <v>126</v>
      </c>
      <c r="B48" s="8" t="s">
        <v>127</v>
      </c>
      <c r="C48" s="7" t="s">
        <v>128</v>
      </c>
      <c r="D48" s="9">
        <v>2</v>
      </c>
      <c r="E48" s="9">
        <v>5000</v>
      </c>
      <c r="F48" s="9">
        <f t="shared" si="1"/>
        <v>10000</v>
      </c>
      <c r="G48" s="2" t="s">
        <v>16</v>
      </c>
      <c r="H48" s="2" t="s">
        <v>16</v>
      </c>
    </row>
    <row r="49" spans="1:8" ht="38.25" x14ac:dyDescent="0.25">
      <c r="A49" s="7" t="s">
        <v>129</v>
      </c>
      <c r="B49" s="8" t="s">
        <v>130</v>
      </c>
      <c r="C49" s="7" t="s">
        <v>131</v>
      </c>
      <c r="D49" s="9">
        <v>18</v>
      </c>
      <c r="E49" s="9">
        <v>1500</v>
      </c>
      <c r="F49" s="9">
        <f t="shared" si="1"/>
        <v>27000</v>
      </c>
      <c r="G49" s="2" t="s">
        <v>16</v>
      </c>
      <c r="H49" s="2" t="s">
        <v>16</v>
      </c>
    </row>
    <row r="50" spans="1:8" ht="25.5" x14ac:dyDescent="0.25">
      <c r="A50" s="7" t="s">
        <v>132</v>
      </c>
      <c r="B50" s="8" t="s">
        <v>133</v>
      </c>
      <c r="C50" s="7" t="s">
        <v>134</v>
      </c>
      <c r="D50" s="9">
        <v>13.5</v>
      </c>
      <c r="E50" s="9">
        <v>1500</v>
      </c>
      <c r="F50" s="9">
        <f t="shared" si="1"/>
        <v>20250</v>
      </c>
      <c r="G50" s="2" t="s">
        <v>16</v>
      </c>
      <c r="H50" s="2" t="s">
        <v>16</v>
      </c>
    </row>
    <row r="51" spans="1:8" ht="51" x14ac:dyDescent="0.25">
      <c r="A51" s="7" t="s">
        <v>135</v>
      </c>
      <c r="B51" s="8" t="s">
        <v>136</v>
      </c>
      <c r="C51" s="7" t="s">
        <v>68</v>
      </c>
      <c r="D51" s="9">
        <v>11</v>
      </c>
      <c r="E51" s="9">
        <v>26000</v>
      </c>
      <c r="F51" s="9">
        <f t="shared" si="1"/>
        <v>286000</v>
      </c>
      <c r="G51" s="2" t="s">
        <v>16</v>
      </c>
      <c r="H51" s="2" t="s">
        <v>16</v>
      </c>
    </row>
    <row r="52" spans="1:8" x14ac:dyDescent="0.25">
      <c r="A52" s="14"/>
      <c r="B52" s="15" t="s">
        <v>93</v>
      </c>
      <c r="C52" s="16"/>
      <c r="D52" s="16"/>
      <c r="E52" s="16"/>
      <c r="F52" s="16"/>
      <c r="G52" s="2" t="s">
        <v>16</v>
      </c>
      <c r="H52" s="2" t="s">
        <v>16</v>
      </c>
    </row>
    <row r="53" spans="1:8" x14ac:dyDescent="0.25">
      <c r="A53" s="7" t="s">
        <v>137</v>
      </c>
      <c r="B53" s="8" t="s">
        <v>138</v>
      </c>
      <c r="C53" s="7" t="s">
        <v>68</v>
      </c>
      <c r="D53" s="9">
        <v>42.77</v>
      </c>
      <c r="E53" s="9">
        <v>650</v>
      </c>
      <c r="F53" s="9">
        <f>D53*E53</f>
        <v>27800.500000000004</v>
      </c>
      <c r="G53" s="2" t="s">
        <v>16</v>
      </c>
      <c r="H53" s="2" t="s">
        <v>16</v>
      </c>
    </row>
    <row r="54" spans="1:8" x14ac:dyDescent="0.25">
      <c r="A54" s="7" t="s">
        <v>139</v>
      </c>
      <c r="B54" s="8" t="s">
        <v>140</v>
      </c>
      <c r="C54" s="7" t="s">
        <v>68</v>
      </c>
      <c r="D54" s="9">
        <v>7.72</v>
      </c>
      <c r="E54" s="9">
        <v>650</v>
      </c>
      <c r="F54" s="9">
        <f>D54*E54</f>
        <v>5018</v>
      </c>
      <c r="G54" s="2" t="s">
        <v>16</v>
      </c>
      <c r="H54" s="2" t="s">
        <v>16</v>
      </c>
    </row>
    <row r="55" spans="1:8" x14ac:dyDescent="0.25">
      <c r="A55" s="7" t="s">
        <v>141</v>
      </c>
      <c r="B55" s="8" t="s">
        <v>142</v>
      </c>
      <c r="C55" s="7" t="s">
        <v>68</v>
      </c>
      <c r="D55" s="9">
        <v>8.92</v>
      </c>
      <c r="E55" s="9">
        <v>650</v>
      </c>
      <c r="F55" s="9">
        <f>D55*E55</f>
        <v>5798</v>
      </c>
      <c r="G55" s="2" t="s">
        <v>16</v>
      </c>
      <c r="H55" s="2" t="s">
        <v>16</v>
      </c>
    </row>
    <row r="56" spans="1:8" x14ac:dyDescent="0.25">
      <c r="A56" s="7" t="s">
        <v>143</v>
      </c>
      <c r="B56" s="8" t="s">
        <v>144</v>
      </c>
      <c r="C56" s="7" t="s">
        <v>68</v>
      </c>
      <c r="D56" s="9">
        <v>53.46</v>
      </c>
      <c r="E56" s="9">
        <v>550</v>
      </c>
      <c r="F56" s="9">
        <f>D56*E56</f>
        <v>29403</v>
      </c>
    </row>
    <row r="57" spans="1:8" x14ac:dyDescent="0.25">
      <c r="A57" s="7" t="s">
        <v>145</v>
      </c>
      <c r="B57" s="8" t="s">
        <v>99</v>
      </c>
      <c r="C57" s="7" t="s">
        <v>68</v>
      </c>
      <c r="D57" s="9">
        <v>9.9</v>
      </c>
      <c r="E57" s="9">
        <v>650</v>
      </c>
      <c r="F57" s="9">
        <f>D57*E57</f>
        <v>6435</v>
      </c>
    </row>
    <row r="58" spans="1:8" x14ac:dyDescent="0.25">
      <c r="A58" s="10"/>
      <c r="B58" s="11" t="s">
        <v>58</v>
      </c>
      <c r="C58" s="10"/>
      <c r="D58" s="12"/>
      <c r="E58" s="12"/>
      <c r="F58" s="13">
        <f>SUM(F37:F51)+SUM(F53:F57)</f>
        <v>2073959.5</v>
      </c>
    </row>
    <row r="59" spans="1:8" x14ac:dyDescent="0.25">
      <c r="A59" s="4" t="s">
        <v>146</v>
      </c>
      <c r="B59" s="5" t="s">
        <v>147</v>
      </c>
      <c r="C59" s="6"/>
      <c r="D59" s="6"/>
      <c r="E59" s="6"/>
      <c r="F59" s="6"/>
    </row>
    <row r="60" spans="1:8" ht="63.75" x14ac:dyDescent="0.25">
      <c r="A60" s="7" t="s">
        <v>148</v>
      </c>
      <c r="B60" s="8" t="s">
        <v>103</v>
      </c>
      <c r="C60" s="7" t="s">
        <v>68</v>
      </c>
      <c r="D60" s="9">
        <v>24.98</v>
      </c>
      <c r="E60" s="9">
        <v>2100</v>
      </c>
      <c r="F60" s="9">
        <f t="shared" ref="F60:F73" si="2">D60*E60</f>
        <v>52458</v>
      </c>
    </row>
    <row r="61" spans="1:8" ht="51" x14ac:dyDescent="0.25">
      <c r="A61" s="7" t="s">
        <v>149</v>
      </c>
      <c r="B61" s="8" t="s">
        <v>105</v>
      </c>
      <c r="C61" s="7" t="s">
        <v>68</v>
      </c>
      <c r="D61" s="9">
        <v>9.99</v>
      </c>
      <c r="E61" s="9">
        <v>23750</v>
      </c>
      <c r="F61" s="9">
        <f t="shared" si="2"/>
        <v>237262.5</v>
      </c>
    </row>
    <row r="62" spans="1:8" ht="38.25" x14ac:dyDescent="0.25">
      <c r="A62" s="7" t="s">
        <v>150</v>
      </c>
      <c r="B62" s="8" t="s">
        <v>107</v>
      </c>
      <c r="C62" s="7" t="s">
        <v>81</v>
      </c>
      <c r="D62" s="9">
        <v>57.93</v>
      </c>
      <c r="E62" s="9">
        <v>1500</v>
      </c>
      <c r="F62" s="9">
        <f t="shared" si="2"/>
        <v>86895</v>
      </c>
    </row>
    <row r="63" spans="1:8" ht="51" x14ac:dyDescent="0.25">
      <c r="A63" s="7" t="s">
        <v>151</v>
      </c>
      <c r="B63" s="8" t="s">
        <v>109</v>
      </c>
      <c r="C63" s="7" t="s">
        <v>68</v>
      </c>
      <c r="D63" s="9">
        <v>32.47</v>
      </c>
      <c r="E63" s="9">
        <v>18000</v>
      </c>
      <c r="F63" s="9">
        <f t="shared" si="2"/>
        <v>584460</v>
      </c>
    </row>
    <row r="64" spans="1:8" ht="38.25" x14ac:dyDescent="0.25">
      <c r="A64" s="7" t="s">
        <v>152</v>
      </c>
      <c r="B64" s="8" t="s">
        <v>111</v>
      </c>
      <c r="C64" s="7" t="s">
        <v>81</v>
      </c>
      <c r="D64" s="9">
        <v>68.760000000000005</v>
      </c>
      <c r="E64" s="9">
        <v>2300</v>
      </c>
      <c r="F64" s="9">
        <f t="shared" si="2"/>
        <v>158148</v>
      </c>
    </row>
    <row r="65" spans="1:6" ht="38.25" x14ac:dyDescent="0.25">
      <c r="A65" s="7" t="s">
        <v>153</v>
      </c>
      <c r="B65" s="8" t="s">
        <v>113</v>
      </c>
      <c r="C65" s="7" t="s">
        <v>114</v>
      </c>
      <c r="D65" s="9">
        <v>18.600000000000001</v>
      </c>
      <c r="E65" s="9">
        <v>1500</v>
      </c>
      <c r="F65" s="9">
        <f t="shared" si="2"/>
        <v>27900.000000000004</v>
      </c>
    </row>
    <row r="66" spans="1:6" ht="25.5" x14ac:dyDescent="0.25">
      <c r="A66" s="7" t="s">
        <v>154</v>
      </c>
      <c r="B66" s="8" t="s">
        <v>116</v>
      </c>
      <c r="C66" s="7" t="s">
        <v>68</v>
      </c>
      <c r="D66" s="9">
        <v>7.49</v>
      </c>
      <c r="E66" s="9">
        <v>4500</v>
      </c>
      <c r="F66" s="9">
        <f t="shared" si="2"/>
        <v>33705</v>
      </c>
    </row>
    <row r="67" spans="1:6" ht="25.5" x14ac:dyDescent="0.25">
      <c r="A67" s="7" t="s">
        <v>155</v>
      </c>
      <c r="B67" s="8" t="s">
        <v>118</v>
      </c>
      <c r="C67" s="7" t="s">
        <v>68</v>
      </c>
      <c r="D67" s="9">
        <v>7.49</v>
      </c>
      <c r="E67" s="9">
        <v>1300</v>
      </c>
      <c r="F67" s="9">
        <f t="shared" si="2"/>
        <v>9737</v>
      </c>
    </row>
    <row r="68" spans="1:6" ht="38.25" x14ac:dyDescent="0.25">
      <c r="A68" s="7" t="s">
        <v>156</v>
      </c>
      <c r="B68" s="8" t="s">
        <v>120</v>
      </c>
      <c r="C68" s="7" t="s">
        <v>68</v>
      </c>
      <c r="D68" s="9">
        <v>44.96</v>
      </c>
      <c r="E68" s="9">
        <v>1000</v>
      </c>
      <c r="F68" s="9">
        <f t="shared" si="2"/>
        <v>44960</v>
      </c>
    </row>
    <row r="69" spans="1:6" ht="51" x14ac:dyDescent="0.25">
      <c r="A69" s="7" t="s">
        <v>157</v>
      </c>
      <c r="B69" s="8" t="s">
        <v>122</v>
      </c>
      <c r="C69" s="7" t="s">
        <v>68</v>
      </c>
      <c r="D69" s="9">
        <v>44.96</v>
      </c>
      <c r="E69" s="9">
        <v>950</v>
      </c>
      <c r="F69" s="9">
        <f t="shared" si="2"/>
        <v>42712</v>
      </c>
    </row>
    <row r="70" spans="1:6" ht="25.5" x14ac:dyDescent="0.25">
      <c r="A70" s="7" t="s">
        <v>158</v>
      </c>
      <c r="B70" s="8" t="s">
        <v>124</v>
      </c>
      <c r="C70" s="7" t="s">
        <v>125</v>
      </c>
      <c r="D70" s="9">
        <v>31</v>
      </c>
      <c r="E70" s="9">
        <v>3500</v>
      </c>
      <c r="F70" s="9">
        <f t="shared" si="2"/>
        <v>108500</v>
      </c>
    </row>
    <row r="71" spans="1:6" x14ac:dyDescent="0.25">
      <c r="A71" s="7" t="s">
        <v>159</v>
      </c>
      <c r="B71" s="8" t="s">
        <v>127</v>
      </c>
      <c r="C71" s="7" t="s">
        <v>128</v>
      </c>
      <c r="D71" s="9">
        <v>2</v>
      </c>
      <c r="E71" s="9">
        <v>5000</v>
      </c>
      <c r="F71" s="9">
        <f t="shared" si="2"/>
        <v>10000</v>
      </c>
    </row>
    <row r="72" spans="1:6" ht="38.25" x14ac:dyDescent="0.25">
      <c r="A72" s="7" t="s">
        <v>160</v>
      </c>
      <c r="B72" s="8" t="s">
        <v>130</v>
      </c>
      <c r="C72" s="7" t="s">
        <v>125</v>
      </c>
      <c r="D72" s="9">
        <v>10</v>
      </c>
      <c r="E72" s="9">
        <v>1500</v>
      </c>
      <c r="F72" s="9">
        <f t="shared" si="2"/>
        <v>15000</v>
      </c>
    </row>
    <row r="73" spans="1:6" ht="25.5" x14ac:dyDescent="0.25">
      <c r="A73" s="7" t="s">
        <v>161</v>
      </c>
      <c r="B73" s="8" t="s">
        <v>133</v>
      </c>
      <c r="C73" s="7" t="s">
        <v>81</v>
      </c>
      <c r="D73" s="9">
        <v>15</v>
      </c>
      <c r="E73" s="9">
        <v>1500</v>
      </c>
      <c r="F73" s="9">
        <f t="shared" si="2"/>
        <v>22500</v>
      </c>
    </row>
    <row r="74" spans="1:6" x14ac:dyDescent="0.25">
      <c r="A74" s="14"/>
      <c r="B74" s="15" t="s">
        <v>93</v>
      </c>
      <c r="C74" s="16"/>
      <c r="D74" s="16"/>
      <c r="E74" s="16"/>
      <c r="F74" s="16"/>
    </row>
    <row r="75" spans="1:6" x14ac:dyDescent="0.25">
      <c r="A75" s="7" t="s">
        <v>162</v>
      </c>
      <c r="B75" s="8" t="s">
        <v>138</v>
      </c>
      <c r="C75" s="7" t="s">
        <v>68</v>
      </c>
      <c r="D75" s="9">
        <v>35.97</v>
      </c>
      <c r="E75" s="9">
        <v>650</v>
      </c>
      <c r="F75" s="9">
        <f>D75*E75</f>
        <v>23380.5</v>
      </c>
    </row>
    <row r="76" spans="1:6" x14ac:dyDescent="0.25">
      <c r="A76" s="7" t="s">
        <v>163</v>
      </c>
      <c r="B76" s="8" t="s">
        <v>164</v>
      </c>
      <c r="C76" s="7" t="s">
        <v>68</v>
      </c>
      <c r="D76" s="9">
        <v>6.49</v>
      </c>
      <c r="E76" s="9">
        <v>650</v>
      </c>
      <c r="F76" s="9">
        <f>D76*E76</f>
        <v>4218.5</v>
      </c>
    </row>
    <row r="77" spans="1:6" x14ac:dyDescent="0.25">
      <c r="A77" s="7" t="s">
        <v>165</v>
      </c>
      <c r="B77" s="8" t="s">
        <v>142</v>
      </c>
      <c r="C77" s="7" t="s">
        <v>68</v>
      </c>
      <c r="D77" s="9">
        <v>7.49</v>
      </c>
      <c r="E77" s="9">
        <v>650</v>
      </c>
      <c r="F77" s="9">
        <f>D77*E77</f>
        <v>4868.5</v>
      </c>
    </row>
    <row r="78" spans="1:6" x14ac:dyDescent="0.25">
      <c r="A78" s="7" t="s">
        <v>166</v>
      </c>
      <c r="B78" s="8" t="s">
        <v>144</v>
      </c>
      <c r="C78" s="7" t="s">
        <v>68</v>
      </c>
      <c r="D78" s="9">
        <v>44.96</v>
      </c>
      <c r="E78" s="9">
        <v>550</v>
      </c>
      <c r="F78" s="9">
        <f>D78*E78</f>
        <v>24728</v>
      </c>
    </row>
    <row r="79" spans="1:6" x14ac:dyDescent="0.25">
      <c r="A79" s="10"/>
      <c r="B79" s="11" t="s">
        <v>58</v>
      </c>
      <c r="C79" s="10"/>
      <c r="D79" s="12"/>
      <c r="E79" s="12"/>
      <c r="F79" s="13">
        <f>SUM(F60:F73)+SUM(F75:F78)</f>
        <v>1491433</v>
      </c>
    </row>
    <row r="82" spans="1:3" ht="18.75" x14ac:dyDescent="0.25">
      <c r="A82" s="17" t="s">
        <v>167</v>
      </c>
      <c r="B82" s="16"/>
      <c r="C82" s="16"/>
    </row>
    <row r="83" spans="1:3" x14ac:dyDescent="0.25">
      <c r="A83" s="18" t="s">
        <v>168</v>
      </c>
      <c r="B83" s="16"/>
      <c r="C83" s="16"/>
    </row>
    <row r="85" spans="1:3" ht="25.5" x14ac:dyDescent="0.25">
      <c r="A85" s="19" t="s">
        <v>169</v>
      </c>
      <c r="B85" s="19" t="s">
        <v>170</v>
      </c>
      <c r="C85" s="19" t="s">
        <v>12</v>
      </c>
    </row>
    <row r="86" spans="1:3" x14ac:dyDescent="0.25">
      <c r="A86" s="7" t="s">
        <v>43</v>
      </c>
      <c r="B86" s="8" t="s">
        <v>44</v>
      </c>
      <c r="C86" s="9">
        <f>F15</f>
        <v>77500</v>
      </c>
    </row>
    <row r="87" spans="1:3" ht="30.75" customHeight="1" x14ac:dyDescent="0.25">
      <c r="A87" s="7" t="s">
        <v>59</v>
      </c>
      <c r="B87" s="8" t="s">
        <v>60</v>
      </c>
      <c r="C87" s="9">
        <f>F35</f>
        <v>12497458.199999999</v>
      </c>
    </row>
    <row r="88" spans="1:3" ht="25.5" x14ac:dyDescent="0.25">
      <c r="A88" s="7" t="s">
        <v>100</v>
      </c>
      <c r="B88" s="8" t="s">
        <v>101</v>
      </c>
      <c r="C88" s="9">
        <f>F58</f>
        <v>2073959.5</v>
      </c>
    </row>
    <row r="89" spans="1:3" x14ac:dyDescent="0.25">
      <c r="A89" s="7" t="s">
        <v>146</v>
      </c>
      <c r="B89" s="8" t="s">
        <v>147</v>
      </c>
      <c r="C89" s="9">
        <f>F79</f>
        <v>1491433</v>
      </c>
    </row>
    <row r="90" spans="1:3" x14ac:dyDescent="0.25">
      <c r="A90" s="20" t="s">
        <v>171</v>
      </c>
      <c r="B90" s="11" t="s">
        <v>172</v>
      </c>
      <c r="C90" s="13">
        <f>SUM(C86:C89)</f>
        <v>16140350.699999999</v>
      </c>
    </row>
    <row r="91" spans="1:3" x14ac:dyDescent="0.25">
      <c r="A91" s="7" t="s">
        <v>173</v>
      </c>
      <c r="B91" s="8" t="s">
        <v>174</v>
      </c>
      <c r="C91" s="9">
        <v>110000</v>
      </c>
    </row>
    <row r="92" spans="1:3" x14ac:dyDescent="0.25">
      <c r="A92" s="20" t="s">
        <v>175</v>
      </c>
      <c r="B92" s="11" t="s">
        <v>176</v>
      </c>
      <c r="C92" s="13">
        <f>C90-C91</f>
        <v>16030350.699999999</v>
      </c>
    </row>
    <row r="93" spans="1:3" x14ac:dyDescent="0.25">
      <c r="A93" s="7" t="s">
        <v>177</v>
      </c>
      <c r="B93" s="8" t="s">
        <v>178</v>
      </c>
      <c r="C93" s="21" t="s">
        <v>179</v>
      </c>
    </row>
    <row r="94" spans="1:3" x14ac:dyDescent="0.25">
      <c r="A94" s="20" t="s">
        <v>180</v>
      </c>
      <c r="B94" s="11" t="s">
        <v>181</v>
      </c>
      <c r="C94" s="13">
        <f>C92</f>
        <v>16030350.699999999</v>
      </c>
    </row>
    <row r="95" spans="1:3" ht="15.75" thickBot="1" x14ac:dyDescent="0.3">
      <c r="A95" s="22" t="s">
        <v>182</v>
      </c>
      <c r="B95" s="23" t="s">
        <v>183</v>
      </c>
      <c r="C95" s="24">
        <f>C91+C94</f>
        <v>16140350.699999999</v>
      </c>
    </row>
    <row r="96" spans="1:3" ht="15.75" thickTop="1" x14ac:dyDescent="0.25"/>
  </sheetData>
  <mergeCells count="9">
    <mergeCell ref="B74:F74"/>
    <mergeCell ref="A82:C82"/>
    <mergeCell ref="A83:C83"/>
    <mergeCell ref="B9:F9"/>
    <mergeCell ref="B16:F16"/>
    <mergeCell ref="B31:F31"/>
    <mergeCell ref="B36:F36"/>
    <mergeCell ref="B52:F52"/>
    <mergeCell ref="B59:F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opLeftCell="A9" zoomScale="80" zoomScaleNormal="80" workbookViewId="0"/>
  </sheetViews>
  <sheetFormatPr defaultRowHeight="15" x14ac:dyDescent="0.25"/>
  <cols>
    <col min="1" max="1" width="26" customWidth="1"/>
    <col min="2" max="2" width="14" customWidth="1"/>
    <col min="3" max="3" width="70" customWidth="1"/>
  </cols>
  <sheetData>
    <row r="1" spans="1:3" x14ac:dyDescent="0.25">
      <c r="A1" t="s">
        <v>17</v>
      </c>
    </row>
    <row r="3" spans="1:3" x14ac:dyDescent="0.25">
      <c r="A3" s="1" t="s">
        <v>18</v>
      </c>
      <c r="B3" s="1" t="s">
        <v>19</v>
      </c>
      <c r="C3" s="1" t="s">
        <v>20</v>
      </c>
    </row>
    <row r="4" spans="1:3" x14ac:dyDescent="0.25">
      <c r="A4" s="2" t="s">
        <v>7</v>
      </c>
      <c r="B4" s="2" t="s">
        <v>21</v>
      </c>
      <c r="C4" s="2" t="s">
        <v>22</v>
      </c>
    </row>
    <row r="5" spans="1:3" x14ac:dyDescent="0.25">
      <c r="A5" s="2" t="s">
        <v>8</v>
      </c>
      <c r="B5" s="2" t="s">
        <v>23</v>
      </c>
      <c r="C5" s="2" t="s">
        <v>24</v>
      </c>
    </row>
    <row r="6" spans="1:3" x14ac:dyDescent="0.25">
      <c r="A6" s="2" t="s">
        <v>9</v>
      </c>
      <c r="B6" s="2" t="s">
        <v>23</v>
      </c>
      <c r="C6" s="2" t="s">
        <v>25</v>
      </c>
    </row>
    <row r="7" spans="1:3" x14ac:dyDescent="0.25">
      <c r="A7" s="2" t="s">
        <v>10</v>
      </c>
      <c r="B7" s="2" t="s">
        <v>23</v>
      </c>
      <c r="C7" s="2" t="s">
        <v>26</v>
      </c>
    </row>
    <row r="8" spans="1:3" x14ac:dyDescent="0.25">
      <c r="A8" s="2" t="s">
        <v>11</v>
      </c>
      <c r="B8" s="2" t="s">
        <v>23</v>
      </c>
      <c r="C8" s="2" t="s">
        <v>27</v>
      </c>
    </row>
    <row r="9" spans="1:3" x14ac:dyDescent="0.25">
      <c r="A9" s="2" t="s">
        <v>12</v>
      </c>
      <c r="B9" s="2" t="s">
        <v>21</v>
      </c>
      <c r="C9" s="2" t="s">
        <v>28</v>
      </c>
    </row>
    <row r="10" spans="1:3" x14ac:dyDescent="0.25">
      <c r="A10" s="2" t="s">
        <v>13</v>
      </c>
      <c r="B10" s="2" t="s">
        <v>21</v>
      </c>
      <c r="C10" s="2" t="s">
        <v>29</v>
      </c>
    </row>
    <row r="11" spans="1:3" x14ac:dyDescent="0.25">
      <c r="A11" s="2" t="s">
        <v>14</v>
      </c>
      <c r="B11" s="2" t="s">
        <v>21</v>
      </c>
      <c r="C11" s="2" t="s">
        <v>30</v>
      </c>
    </row>
    <row r="13" spans="1:3" ht="25.5" x14ac:dyDescent="0.25">
      <c r="A13" s="3" t="s">
        <v>31</v>
      </c>
    </row>
    <row r="14" spans="1:3" x14ac:dyDescent="0.25">
      <c r="A14" s="2" t="s">
        <v>15</v>
      </c>
    </row>
    <row r="15" spans="1:3" x14ac:dyDescent="0.25">
      <c r="A15" s="2" t="s">
        <v>32</v>
      </c>
    </row>
    <row r="16" spans="1:3" x14ac:dyDescent="0.25">
      <c r="A16" s="2" t="s">
        <v>33</v>
      </c>
    </row>
    <row r="17" spans="1:1" x14ac:dyDescent="0.25">
      <c r="A17" s="2" t="s">
        <v>34</v>
      </c>
    </row>
    <row r="18" spans="1:1" x14ac:dyDescent="0.25">
      <c r="A18" s="2" t="s">
        <v>35</v>
      </c>
    </row>
    <row r="19" spans="1:1" x14ac:dyDescent="0.25">
      <c r="A19" s="2" t="s">
        <v>36</v>
      </c>
    </row>
    <row r="20" spans="1:1" x14ac:dyDescent="0.25">
      <c r="A20" s="2" t="s">
        <v>37</v>
      </c>
    </row>
    <row r="21" spans="1:1" x14ac:dyDescent="0.25">
      <c r="A21" s="2" t="s">
        <v>38</v>
      </c>
    </row>
    <row r="22" spans="1:1" x14ac:dyDescent="0.25">
      <c r="A22" s="2" t="s">
        <v>39</v>
      </c>
    </row>
    <row r="23" spans="1:1" x14ac:dyDescent="0.25">
      <c r="A23" s="2" t="s">
        <v>40</v>
      </c>
    </row>
    <row r="24" spans="1:1" x14ac:dyDescent="0.25">
      <c r="A24" s="2" t="s">
        <v>41</v>
      </c>
    </row>
    <row r="26" spans="1:1" ht="76.5" x14ac:dyDescent="0.25">
      <c r="A26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BOQ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Lap.lk</cp:lastModifiedBy>
  <dcterms:modified xsi:type="dcterms:W3CDTF">2026-10-27T10:11:23Z</dcterms:modified>
</cp:coreProperties>
</file>